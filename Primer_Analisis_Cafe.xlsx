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unicundiedu-my.sharepoint.com/personal/feliperamirez_ucundinamarca_edu_co/Documents/UN_AGRARIAS_CAFE/"/>
    </mc:Choice>
  </mc:AlternateContent>
  <xr:revisionPtr revIDLastSave="7" documentId="8_{D5361778-1024-4D12-8114-E2DFF167DD21}" xr6:coauthVersionLast="47" xr6:coauthVersionMax="47" xr10:uidLastSave="{B715FD3A-9E03-43AC-821D-6ACA27A0DF77}"/>
  <bookViews>
    <workbookView xWindow="13380" yWindow="0" windowWidth="10812" windowHeight="13776" xr2:uid="{AC8509AD-BB1F-428D-B155-1C622288DF87}"/>
  </bookViews>
  <sheets>
    <sheet name="Hoja1" sheetId="1" r:id="rId1"/>
  </sheets>
  <definedNames>
    <definedName name="_xlnm._FilterDatabase" localSheetId="0" hidden="1">Hoja1!$A$2:$Y$26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P3" i="1"/>
  <c r="O3" i="1"/>
  <c r="N3" i="1"/>
  <c r="V3" i="1" s="1"/>
  <c r="W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K3" i="1"/>
  <c r="I3" i="1"/>
  <c r="J3" i="1"/>
  <c r="Q19" i="1" l="1"/>
  <c r="R19" i="1" s="1"/>
  <c r="S19" i="1" s="1"/>
  <c r="Q11" i="1"/>
  <c r="R11" i="1" s="1"/>
  <c r="S11" i="1" s="1"/>
  <c r="Q24" i="1"/>
  <c r="R24" i="1" s="1"/>
  <c r="S24" i="1" s="1"/>
  <c r="Q16" i="1"/>
  <c r="R16" i="1" s="1"/>
  <c r="Q8" i="1"/>
  <c r="R8" i="1" s="1"/>
  <c r="S8" i="1" s="1"/>
  <c r="Q20" i="1"/>
  <c r="R20" i="1" s="1"/>
  <c r="S20" i="1" s="1"/>
  <c r="Q4" i="1"/>
  <c r="R4" i="1" s="1"/>
  <c r="S4" i="1" s="1"/>
  <c r="Q26" i="1"/>
  <c r="R26" i="1" s="1"/>
  <c r="S26" i="1" s="1"/>
  <c r="Q18" i="1"/>
  <c r="R18" i="1" s="1"/>
  <c r="S18" i="1" s="1"/>
  <c r="Q10" i="1"/>
  <c r="R10" i="1" s="1"/>
  <c r="S10" i="1" s="1"/>
  <c r="Q25" i="1"/>
  <c r="R25" i="1" s="1"/>
  <c r="S25" i="1" s="1"/>
  <c r="Q17" i="1"/>
  <c r="R17" i="1" s="1"/>
  <c r="Q9" i="1"/>
  <c r="R9" i="1" s="1"/>
  <c r="S9" i="1" s="1"/>
  <c r="Q15" i="1"/>
  <c r="R15" i="1" s="1"/>
  <c r="L25" i="1"/>
  <c r="M25" i="1" s="1"/>
  <c r="Q22" i="1"/>
  <c r="R22" i="1" s="1"/>
  <c r="S22" i="1" s="1"/>
  <c r="Q14" i="1"/>
  <c r="R14" i="1" s="1"/>
  <c r="Q6" i="1"/>
  <c r="R6" i="1" s="1"/>
  <c r="Q21" i="1"/>
  <c r="R21" i="1" s="1"/>
  <c r="S21" i="1" s="1"/>
  <c r="Q13" i="1"/>
  <c r="R13" i="1" s="1"/>
  <c r="Q5" i="1"/>
  <c r="R5" i="1" s="1"/>
  <c r="Q12" i="1"/>
  <c r="R12" i="1" s="1"/>
  <c r="Q7" i="1"/>
  <c r="R7" i="1" s="1"/>
  <c r="Q23" i="1"/>
  <c r="R23" i="1" s="1"/>
  <c r="S23" i="1" s="1"/>
  <c r="Q3" i="1"/>
  <c r="R3" i="1" s="1"/>
  <c r="S3" i="1" s="1"/>
  <c r="L22" i="1"/>
  <c r="M22" i="1" s="1"/>
  <c r="L12" i="1"/>
  <c r="L4" i="1"/>
  <c r="M4" i="1" s="1"/>
  <c r="L16" i="1"/>
  <c r="L14" i="1"/>
  <c r="L6" i="1"/>
  <c r="L18" i="1"/>
  <c r="L23" i="1"/>
  <c r="M23" i="1" s="1"/>
  <c r="L20" i="1"/>
  <c r="M20" i="1" s="1"/>
  <c r="L13" i="1"/>
  <c r="M13" i="1" s="1"/>
  <c r="L8" i="1"/>
  <c r="M8" i="1" s="1"/>
  <c r="L21" i="1"/>
  <c r="L11" i="1"/>
  <c r="L10" i="1"/>
  <c r="L3" i="1"/>
  <c r="M3" i="1" s="1"/>
  <c r="L19" i="1"/>
  <c r="L24" i="1"/>
  <c r="M24" i="1" s="1"/>
  <c r="L5" i="1"/>
  <c r="M5" i="1" s="1"/>
  <c r="L7" i="1"/>
  <c r="M7" i="1" s="1"/>
  <c r="L26" i="1"/>
  <c r="L9" i="1"/>
  <c r="L15" i="1"/>
  <c r="L17" i="1"/>
  <c r="S7" i="1" l="1"/>
  <c r="S5" i="1"/>
  <c r="S13" i="1"/>
  <c r="M10" i="1"/>
  <c r="M26" i="1"/>
  <c r="M21" i="1"/>
  <c r="M16" i="1"/>
  <c r="S16" i="1" s="1"/>
  <c r="M6" i="1"/>
  <c r="S6" i="1" s="1"/>
  <c r="M12" i="1"/>
  <c r="S12" i="1" s="1"/>
  <c r="M17" i="1"/>
  <c r="S17" i="1" s="1"/>
  <c r="M18" i="1"/>
  <c r="M11" i="1"/>
  <c r="M15" i="1"/>
  <c r="S15" i="1" s="1"/>
  <c r="M9" i="1"/>
  <c r="M14" i="1"/>
  <c r="S14" i="1" s="1"/>
  <c r="M19" i="1"/>
</calcChain>
</file>

<file path=xl/sharedStrings.xml><?xml version="1.0" encoding="utf-8"?>
<sst xmlns="http://schemas.openxmlformats.org/spreadsheetml/2006/main" count="72" uniqueCount="66">
  <si>
    <t>ICCINV1</t>
  </si>
  <si>
    <t>ICCINV2</t>
  </si>
  <si>
    <t>ICC3</t>
  </si>
  <si>
    <t>ICCINV4</t>
  </si>
  <si>
    <t>ICCINV5</t>
  </si>
  <si>
    <t>ICCINV6</t>
  </si>
  <si>
    <t>ICCINV7</t>
  </si>
  <si>
    <t>ICCINV8</t>
  </si>
  <si>
    <t>ICCINV9</t>
  </si>
  <si>
    <t>ICC10</t>
  </si>
  <si>
    <t>ICC11</t>
  </si>
  <si>
    <t>ICC12</t>
  </si>
  <si>
    <t>ICC13</t>
  </si>
  <si>
    <t>ICC14</t>
  </si>
  <si>
    <t>ICC15</t>
  </si>
  <si>
    <t>ICC16</t>
  </si>
  <si>
    <t>ICC17</t>
  </si>
  <si>
    <t>ICCINV18</t>
  </si>
  <si>
    <t>ICC19</t>
  </si>
  <si>
    <t>ICC20</t>
  </si>
  <si>
    <t>ICCINV21</t>
  </si>
  <si>
    <t>ICC22</t>
  </si>
  <si>
    <t>ICC23</t>
  </si>
  <si>
    <t>ICCINV24</t>
  </si>
  <si>
    <t>Item Difficulty</t>
  </si>
  <si>
    <t>Item Discrimination</t>
  </si>
  <si>
    <t>Escala general (N=130*)</t>
  </si>
  <si>
    <t>Afirmación</t>
  </si>
  <si>
    <t>Lo importante del café es que sea económico, sin importar su sabor</t>
  </si>
  <si>
    <t>El efecto energético del café es el principal aporte del café a los huma0s</t>
  </si>
  <si>
    <t>El café es un insumo básico en cada hogar</t>
  </si>
  <si>
    <t>El café produce en mayor medida efectos negativos hacia la salud</t>
  </si>
  <si>
    <t>El café es una bebida adictiva</t>
  </si>
  <si>
    <t>Todos los cafés en general saben a lo mismo</t>
  </si>
  <si>
    <t>El sabor principal del café es el amargo</t>
  </si>
  <si>
    <t xml:space="preserve"> La industria cafetera ha sido fundamental para la cultura y la identidad colombiana</t>
  </si>
  <si>
    <t>Colombia produce el mejor café del mundo</t>
  </si>
  <si>
    <t>Es tradición en Colombia, compartir con amigos y tomar café</t>
  </si>
  <si>
    <t>Las familias colombianas toman el mejor café en sus casas</t>
  </si>
  <si>
    <t>Colombia tiene una cultura de tomar café de alta calidad</t>
  </si>
  <si>
    <t>El consumo de café en cualquier medida es riesgoso para la salud menores de edad</t>
  </si>
  <si>
    <t>Todo colombiano/a debería saber algo sobre el café y su producción</t>
  </si>
  <si>
    <t>La imagen de Juan Valdez representa lo mejor del café colombiano</t>
  </si>
  <si>
    <t>Me gusta prepararme el café en mi casa</t>
  </si>
  <si>
    <t>Compro café para la casa principalmente cuando hay promociones para ahorrar dinero</t>
  </si>
  <si>
    <t>Tomar café en una cafetería me permite experimentar con diferentes métodos de extracción de café</t>
  </si>
  <si>
    <t xml:space="preserve"> Tengo una marca favorita de café que suelo usar en casa</t>
  </si>
  <si>
    <t>Prefiero consumir café instantáneo</t>
  </si>
  <si>
    <t>ID</t>
  </si>
  <si>
    <t>Ciencias Agrarias (N=74)</t>
  </si>
  <si>
    <t>Ciencias Humanas (N=47=</t>
  </si>
  <si>
    <t>Los consumidores en el extranjero valoran más el café colombiano que los colombianos</t>
  </si>
  <si>
    <t>El café de marcas tradicionales es de alta calidad (ej,Aguila roja</t>
  </si>
  <si>
    <t>Dificultad General</t>
  </si>
  <si>
    <t>Dificultad Agrarias</t>
  </si>
  <si>
    <t>Dificultad Humanas</t>
  </si>
  <si>
    <t>Total</t>
  </si>
  <si>
    <t>Analisis</t>
  </si>
  <si>
    <t>Cumplimiento de criterios-Dificultad</t>
  </si>
  <si>
    <t>Discri General</t>
  </si>
  <si>
    <t>DiscrAgrarias</t>
  </si>
  <si>
    <t>Discr</t>
  </si>
  <si>
    <t>Cumplimiento de criterios-Discriminación</t>
  </si>
  <si>
    <t>Decision FINAL</t>
  </si>
  <si>
    <t>Todo buen colombiano/a debería tomar al menos una taza de café al día</t>
  </si>
  <si>
    <t>Todo colombiano/a debería sentirse orgulloso/a de que le digan "cafetero/a"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</si>
</sst>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Times New Roman"/>
      <family val="1"/>
    </font>
    <font>
      <i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380D-3069-4F9F-8958-26334D1B647E}">
  <dimension ref="A1:W26"/>
  <sheetViews>
    <sheetView tabSelected="1" topLeftCell="B1" workbookViewId="0">
      <selection activeCell="S2" sqref="S2"/>
    </sheetView>
  </sheetViews>
  <sheetFormatPr baseColWidth="10" defaultRowHeight="14.4" x14ac:dyDescent="0.3"/>
  <cols>
    <col min="1" max="1" width="8.77734375" bestFit="1" customWidth="1"/>
    <col min="2" max="2" width="81.5546875" bestFit="1" customWidth="1"/>
    <col min="3" max="3" width="12.77734375" bestFit="1" customWidth="1"/>
    <col min="4" max="4" width="17.6640625" bestFit="1" customWidth="1"/>
    <col min="9" max="9" width="11" customWidth="1"/>
    <col min="14" max="14" width="14.77734375" customWidth="1"/>
  </cols>
  <sheetData>
    <row r="1" spans="1:23" x14ac:dyDescent="0.3">
      <c r="C1" s="9" t="s">
        <v>26</v>
      </c>
      <c r="D1" s="9"/>
      <c r="E1" s="10" t="s">
        <v>49</v>
      </c>
      <c r="F1" s="10"/>
      <c r="G1" s="11" t="s">
        <v>50</v>
      </c>
      <c r="H1" s="11"/>
      <c r="I1" s="12" t="s">
        <v>58</v>
      </c>
      <c r="J1" s="12"/>
      <c r="K1" s="12"/>
      <c r="L1" s="12"/>
      <c r="M1" s="12"/>
      <c r="N1" s="13" t="s">
        <v>62</v>
      </c>
      <c r="O1" s="13"/>
      <c r="P1" s="13"/>
      <c r="Q1" s="13"/>
      <c r="R1" s="13"/>
    </row>
    <row r="2" spans="1:23" ht="41.4" x14ac:dyDescent="0.3">
      <c r="A2" s="2" t="s">
        <v>48</v>
      </c>
      <c r="B2" s="2" t="s">
        <v>27</v>
      </c>
      <c r="C2" s="3" t="s">
        <v>24</v>
      </c>
      <c r="D2" s="3" t="s">
        <v>25</v>
      </c>
      <c r="E2" s="4" t="s">
        <v>24</v>
      </c>
      <c r="F2" s="4" t="s">
        <v>25</v>
      </c>
      <c r="G2" s="5" t="s">
        <v>24</v>
      </c>
      <c r="H2" s="5" t="s">
        <v>25</v>
      </c>
      <c r="I2" s="6" t="s">
        <v>53</v>
      </c>
      <c r="J2" s="6" t="s">
        <v>54</v>
      </c>
      <c r="K2" s="6" t="s">
        <v>55</v>
      </c>
      <c r="L2" s="6" t="s">
        <v>56</v>
      </c>
      <c r="M2" s="6" t="s">
        <v>57</v>
      </c>
      <c r="N2" s="7" t="s">
        <v>59</v>
      </c>
      <c r="O2" s="7" t="s">
        <v>60</v>
      </c>
      <c r="P2" s="7" t="s">
        <v>61</v>
      </c>
      <c r="Q2" s="7" t="s">
        <v>56</v>
      </c>
      <c r="R2" s="7" t="s">
        <v>57</v>
      </c>
      <c r="S2" s="8" t="s">
        <v>63</v>
      </c>
    </row>
    <row r="3" spans="1:23" x14ac:dyDescent="0.3">
      <c r="A3" t="s">
        <v>0</v>
      </c>
      <c r="B3" t="s">
        <v>28</v>
      </c>
      <c r="C3" s="1">
        <v>0.83</v>
      </c>
      <c r="D3" s="1">
        <v>0.12</v>
      </c>
      <c r="E3" s="1">
        <v>0.84</v>
      </c>
      <c r="F3" s="1">
        <v>0.14000000000000001</v>
      </c>
      <c r="G3" s="1">
        <v>0.81</v>
      </c>
      <c r="H3" s="1">
        <v>-0.06</v>
      </c>
      <c r="I3">
        <f>+IF(C3&lt;0.8,IF(C3&gt;0.2,1,0),0)</f>
        <v>0</v>
      </c>
      <c r="J3">
        <f>+IF(E3&lt;0.8,IF(E3&gt;0.2,1,0),0)</f>
        <v>0</v>
      </c>
      <c r="K3">
        <f>+IF(G3&lt;0.8,IF(G3&gt;0.2,1,0),0)</f>
        <v>0</v>
      </c>
      <c r="L3">
        <f>SUM(I3:K3)</f>
        <v>0</v>
      </c>
      <c r="M3" t="str">
        <f>+IF(L3=3,"CUMPLE",IF(L3=2,"PRIORIDAD1",IF(I30=1,"PRIORIDAD2","DESCARTAR")))</f>
        <v>DESCARTAR</v>
      </c>
      <c r="N3">
        <f>+IF(D3&gt;0.2,1,0)</f>
        <v>0</v>
      </c>
      <c r="O3">
        <f>+IF(F3&gt;0.2,1,0)</f>
        <v>0</v>
      </c>
      <c r="P3">
        <f>+IF(H3&gt;0.2,1,0)</f>
        <v>0</v>
      </c>
      <c r="Q3">
        <f>SUM(N3:P3)</f>
        <v>0</v>
      </c>
      <c r="R3" t="str">
        <f>+IF(Q3=3,"CUMPLE",IF(Q3=2,"PRIORIDAD1",IF(N3=1,"PRIORIDAD2","DESCARTAR")))</f>
        <v>DESCARTAR</v>
      </c>
      <c r="S3" t="str">
        <f t="shared" ref="S3:S26" si="0">+IF(R3="CUMPLE",IF(M3="CUMPLE","ELEGIDO VF",IF(M3="PRIORIDAD1","LISTA  DE ESPERA 1","DESCARTAR")),IF(R3="PRIORIDAD1",IF(M3="CUMPLE","LISTA DE ESPERA 2","DESCARTAR"),"DESCARTAR"))</f>
        <v>DESCARTAR</v>
      </c>
      <c r="V3">
        <f>+IF(N3&gt;0.2,1,0)</f>
        <v>0</v>
      </c>
      <c r="W3" t="e">
        <f>+IF(#REF!&gt;0.2,1,0)</f>
        <v>#REF!</v>
      </c>
    </row>
    <row r="4" spans="1:23" x14ac:dyDescent="0.3">
      <c r="A4" t="s">
        <v>1</v>
      </c>
      <c r="B4" t="s">
        <v>29</v>
      </c>
      <c r="C4" s="1">
        <v>0.61</v>
      </c>
      <c r="D4" s="1">
        <v>0.18</v>
      </c>
      <c r="E4" s="1">
        <v>0.63</v>
      </c>
      <c r="F4" s="1">
        <v>0.21</v>
      </c>
      <c r="G4" s="1">
        <v>0.57999999999999996</v>
      </c>
      <c r="H4" s="1">
        <v>-0.09</v>
      </c>
      <c r="I4">
        <f t="shared" ref="I4:I26" si="1">+IF(C4&lt;0.8,IF(C4&gt;0.2,1,0),0)</f>
        <v>1</v>
      </c>
      <c r="J4">
        <f t="shared" ref="J4:J26" si="2">+IF(E4&lt;0.8,IF(E4&gt;0.2,1,0),0)</f>
        <v>1</v>
      </c>
      <c r="K4">
        <f t="shared" ref="K4:K26" si="3">+IF(G4&lt;0.8,IF(G4&gt;0.2,1,0),0)</f>
        <v>1</v>
      </c>
      <c r="L4">
        <f t="shared" ref="L4:L26" si="4">SUM(I4:K4)</f>
        <v>3</v>
      </c>
      <c r="M4" t="str">
        <f t="shared" ref="M4:M26" si="5">+IF(L4=3,"CUMPLE",IF(L4=2,"PRIORIDAD1",IF(I31=1,"PRIORIDAD2","DESCARTAR")))</f>
        <v>CUMPLE</v>
      </c>
      <c r="N4">
        <f t="shared" ref="N4:N26" si="6">+IF(D4&gt;0.2,1,0)</f>
        <v>0</v>
      </c>
      <c r="O4">
        <f t="shared" ref="O4:O26" si="7">+IF(F4&gt;0.2,1,0)</f>
        <v>1</v>
      </c>
      <c r="P4">
        <f t="shared" ref="P4:P26" si="8">+IF(H4&gt;0.2,1,0)</f>
        <v>0</v>
      </c>
      <c r="Q4">
        <f t="shared" ref="Q4:Q26" si="9">SUM(N4:P4)</f>
        <v>1</v>
      </c>
      <c r="R4" t="str">
        <f t="shared" ref="R4:R26" si="10">+IF(Q4=3,"CUMPLE",IF(Q4=2,"PRIORIDAD1",IF(N4=1,"PRIORIDAD2","DESCARTAR")))</f>
        <v>DESCARTAR</v>
      </c>
      <c r="S4" t="str">
        <f t="shared" si="0"/>
        <v>DESCARTAR</v>
      </c>
    </row>
    <row r="5" spans="1:23" x14ac:dyDescent="0.3">
      <c r="A5" t="s">
        <v>2</v>
      </c>
      <c r="B5" t="s">
        <v>30</v>
      </c>
      <c r="C5" s="1">
        <v>0.74</v>
      </c>
      <c r="D5" s="1">
        <v>0.3</v>
      </c>
      <c r="E5" s="1">
        <v>0.78</v>
      </c>
      <c r="F5" s="1">
        <v>0.32</v>
      </c>
      <c r="G5" s="1">
        <v>0.7</v>
      </c>
      <c r="H5" s="1">
        <v>0.36</v>
      </c>
      <c r="I5">
        <f t="shared" si="1"/>
        <v>1</v>
      </c>
      <c r="J5">
        <f t="shared" si="2"/>
        <v>1</v>
      </c>
      <c r="K5">
        <f t="shared" si="3"/>
        <v>1</v>
      </c>
      <c r="L5">
        <f t="shared" si="4"/>
        <v>3</v>
      </c>
      <c r="M5" t="str">
        <f t="shared" si="5"/>
        <v>CUMPLE</v>
      </c>
      <c r="N5">
        <f t="shared" si="6"/>
        <v>1</v>
      </c>
      <c r="O5">
        <f t="shared" si="7"/>
        <v>1</v>
      </c>
      <c r="P5">
        <f t="shared" si="8"/>
        <v>1</v>
      </c>
      <c r="Q5">
        <f t="shared" si="9"/>
        <v>3</v>
      </c>
      <c r="R5" t="str">
        <f t="shared" si="10"/>
        <v>CUMPLE</v>
      </c>
      <c r="S5" t="str">
        <f t="shared" si="0"/>
        <v>ELEGIDO VF</v>
      </c>
    </row>
    <row r="6" spans="1:23" x14ac:dyDescent="0.3">
      <c r="A6" t="s">
        <v>3</v>
      </c>
      <c r="B6" t="s">
        <v>31</v>
      </c>
      <c r="C6" s="1">
        <v>0.76</v>
      </c>
      <c r="D6" s="1">
        <v>0.59</v>
      </c>
      <c r="E6" s="1">
        <v>0.84</v>
      </c>
      <c r="F6" s="1">
        <v>0.52</v>
      </c>
      <c r="G6" s="1">
        <v>0.63</v>
      </c>
      <c r="H6" s="1">
        <v>0.37</v>
      </c>
      <c r="I6">
        <f t="shared" si="1"/>
        <v>1</v>
      </c>
      <c r="J6">
        <f t="shared" si="2"/>
        <v>0</v>
      </c>
      <c r="K6">
        <f t="shared" si="3"/>
        <v>1</v>
      </c>
      <c r="L6">
        <f t="shared" si="4"/>
        <v>2</v>
      </c>
      <c r="M6" t="str">
        <f t="shared" si="5"/>
        <v>PRIORIDAD1</v>
      </c>
      <c r="N6">
        <f t="shared" si="6"/>
        <v>1</v>
      </c>
      <c r="O6">
        <f t="shared" si="7"/>
        <v>1</v>
      </c>
      <c r="P6">
        <f t="shared" si="8"/>
        <v>1</v>
      </c>
      <c r="Q6">
        <f t="shared" si="9"/>
        <v>3</v>
      </c>
      <c r="R6" t="str">
        <f t="shared" si="10"/>
        <v>CUMPLE</v>
      </c>
      <c r="S6" t="str">
        <f>+IF(R6="CUMPLE",IF(M6="CUMPLE","ELEGIDO VF",IF(M6="PRIORIDAD1","LISTA  DE ESPERA 1","DESCARTAR")),IF(R6="PRIORIDAD1",IF(M6="CUMPLE","LISTA DE ESPERA 2","DESCARTAR"),"DESCARTAR"))</f>
        <v>LISTA  DE ESPERA 1</v>
      </c>
    </row>
    <row r="7" spans="1:23" x14ac:dyDescent="0.3">
      <c r="A7" t="s">
        <v>4</v>
      </c>
      <c r="B7" t="s">
        <v>40</v>
      </c>
      <c r="C7" s="1">
        <v>0.7</v>
      </c>
      <c r="D7" s="1">
        <v>0.3</v>
      </c>
      <c r="E7" s="1">
        <v>0.78</v>
      </c>
      <c r="F7" s="1">
        <v>0.36</v>
      </c>
      <c r="G7" s="1">
        <v>0.61</v>
      </c>
      <c r="H7" s="1">
        <v>-0.15</v>
      </c>
      <c r="I7">
        <f t="shared" si="1"/>
        <v>1</v>
      </c>
      <c r="J7">
        <f t="shared" si="2"/>
        <v>1</v>
      </c>
      <c r="K7">
        <f t="shared" si="3"/>
        <v>1</v>
      </c>
      <c r="L7">
        <f t="shared" si="4"/>
        <v>3</v>
      </c>
      <c r="M7" t="str">
        <f t="shared" si="5"/>
        <v>CUMPLE</v>
      </c>
      <c r="N7">
        <f t="shared" si="6"/>
        <v>1</v>
      </c>
      <c r="O7">
        <f t="shared" si="7"/>
        <v>1</v>
      </c>
      <c r="P7">
        <f t="shared" si="8"/>
        <v>0</v>
      </c>
      <c r="Q7">
        <f t="shared" si="9"/>
        <v>2</v>
      </c>
      <c r="R7" t="str">
        <f t="shared" si="10"/>
        <v>PRIORIDAD1</v>
      </c>
      <c r="S7" t="str">
        <f t="shared" si="0"/>
        <v>LISTA DE ESPERA 2</v>
      </c>
    </row>
    <row r="8" spans="1:23" x14ac:dyDescent="0.3">
      <c r="A8" t="s">
        <v>5</v>
      </c>
      <c r="B8" t="s">
        <v>32</v>
      </c>
      <c r="C8" s="1">
        <v>0.48</v>
      </c>
      <c r="D8" s="1">
        <v>0.23</v>
      </c>
      <c r="E8" s="1">
        <v>0.55000000000000004</v>
      </c>
      <c r="F8" s="1">
        <v>0.09</v>
      </c>
      <c r="G8" s="1">
        <v>0.47</v>
      </c>
      <c r="H8" s="1">
        <v>0.1</v>
      </c>
      <c r="I8">
        <f t="shared" si="1"/>
        <v>1</v>
      </c>
      <c r="J8">
        <f t="shared" si="2"/>
        <v>1</v>
      </c>
      <c r="K8">
        <f t="shared" si="3"/>
        <v>1</v>
      </c>
      <c r="L8">
        <f t="shared" si="4"/>
        <v>3</v>
      </c>
      <c r="M8" t="str">
        <f t="shared" si="5"/>
        <v>CUMPLE</v>
      </c>
      <c r="N8">
        <f t="shared" si="6"/>
        <v>1</v>
      </c>
      <c r="O8">
        <f t="shared" si="7"/>
        <v>0</v>
      </c>
      <c r="P8">
        <f t="shared" si="8"/>
        <v>0</v>
      </c>
      <c r="Q8">
        <f t="shared" si="9"/>
        <v>1</v>
      </c>
      <c r="R8" t="str">
        <f t="shared" si="10"/>
        <v>PRIORIDAD2</v>
      </c>
      <c r="S8" t="str">
        <f t="shared" si="0"/>
        <v>DESCARTAR</v>
      </c>
    </row>
    <row r="9" spans="1:23" x14ac:dyDescent="0.3">
      <c r="A9" t="s">
        <v>6</v>
      </c>
      <c r="B9" t="s">
        <v>33</v>
      </c>
      <c r="C9" s="1">
        <v>0.92</v>
      </c>
      <c r="D9" s="1">
        <v>0.2</v>
      </c>
      <c r="E9" s="1">
        <v>0.94</v>
      </c>
      <c r="F9" s="1">
        <v>0.15</v>
      </c>
      <c r="G9" s="1">
        <v>0.88</v>
      </c>
      <c r="H9" s="1">
        <v>0.16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 t="str">
        <f t="shared" si="5"/>
        <v>DESCARTAR</v>
      </c>
      <c r="N9">
        <f t="shared" si="6"/>
        <v>0</v>
      </c>
      <c r="O9">
        <f t="shared" si="7"/>
        <v>0</v>
      </c>
      <c r="P9">
        <f t="shared" si="8"/>
        <v>0</v>
      </c>
      <c r="Q9">
        <f t="shared" si="9"/>
        <v>0</v>
      </c>
      <c r="R9" t="str">
        <f t="shared" si="10"/>
        <v>DESCARTAR</v>
      </c>
      <c r="S9" t="str">
        <f t="shared" si="0"/>
        <v>DESCARTAR</v>
      </c>
    </row>
    <row r="10" spans="1:23" x14ac:dyDescent="0.3">
      <c r="A10" t="s">
        <v>7</v>
      </c>
      <c r="B10" t="s">
        <v>34</v>
      </c>
      <c r="C10" s="1">
        <v>0.66</v>
      </c>
      <c r="D10" s="1">
        <v>0.32</v>
      </c>
      <c r="E10" s="1">
        <v>0.74</v>
      </c>
      <c r="F10" s="1">
        <v>0.1</v>
      </c>
      <c r="G10" s="1">
        <v>0.51</v>
      </c>
      <c r="H10" s="1">
        <v>0.05</v>
      </c>
      <c r="I10">
        <f t="shared" si="1"/>
        <v>1</v>
      </c>
      <c r="J10">
        <f t="shared" si="2"/>
        <v>1</v>
      </c>
      <c r="K10">
        <f t="shared" si="3"/>
        <v>1</v>
      </c>
      <c r="L10">
        <f t="shared" si="4"/>
        <v>3</v>
      </c>
      <c r="M10" t="str">
        <f t="shared" si="5"/>
        <v>CUMPLE</v>
      </c>
      <c r="N10">
        <f t="shared" si="6"/>
        <v>1</v>
      </c>
      <c r="O10">
        <f t="shared" si="7"/>
        <v>0</v>
      </c>
      <c r="P10">
        <f t="shared" si="8"/>
        <v>0</v>
      </c>
      <c r="Q10">
        <f t="shared" si="9"/>
        <v>1</v>
      </c>
      <c r="R10" t="str">
        <f t="shared" si="10"/>
        <v>PRIORIDAD2</v>
      </c>
      <c r="S10" t="str">
        <f t="shared" si="0"/>
        <v>DESCARTAR</v>
      </c>
    </row>
    <row r="11" spans="1:23" x14ac:dyDescent="0.3">
      <c r="A11" t="s">
        <v>8</v>
      </c>
      <c r="B11" t="s">
        <v>52</v>
      </c>
      <c r="C11" s="1">
        <v>0.83</v>
      </c>
      <c r="D11" s="1">
        <v>0.3</v>
      </c>
      <c r="E11" s="1">
        <v>0.88</v>
      </c>
      <c r="F11" s="1">
        <v>0.1</v>
      </c>
      <c r="G11" s="1">
        <v>0.73</v>
      </c>
      <c r="H11" s="1">
        <v>0.13</v>
      </c>
      <c r="I11">
        <f t="shared" si="1"/>
        <v>0</v>
      </c>
      <c r="J11">
        <f t="shared" si="2"/>
        <v>0</v>
      </c>
      <c r="K11">
        <f t="shared" si="3"/>
        <v>1</v>
      </c>
      <c r="L11">
        <f t="shared" si="4"/>
        <v>1</v>
      </c>
      <c r="M11" t="str">
        <f t="shared" si="5"/>
        <v>DESCARTAR</v>
      </c>
      <c r="N11">
        <f t="shared" si="6"/>
        <v>1</v>
      </c>
      <c r="O11">
        <f t="shared" si="7"/>
        <v>0</v>
      </c>
      <c r="P11">
        <f t="shared" si="8"/>
        <v>0</v>
      </c>
      <c r="Q11">
        <f t="shared" si="9"/>
        <v>1</v>
      </c>
      <c r="R11" t="str">
        <f t="shared" si="10"/>
        <v>PRIORIDAD2</v>
      </c>
      <c r="S11" t="str">
        <f t="shared" si="0"/>
        <v>DESCARTAR</v>
      </c>
    </row>
    <row r="12" spans="1:23" x14ac:dyDescent="0.3">
      <c r="A12" t="s">
        <v>9</v>
      </c>
      <c r="B12" t="s">
        <v>35</v>
      </c>
      <c r="C12" s="1">
        <v>0.88</v>
      </c>
      <c r="D12" s="1">
        <v>0.24</v>
      </c>
      <c r="E12" s="1">
        <v>0.89</v>
      </c>
      <c r="F12" s="1">
        <v>0.31</v>
      </c>
      <c r="G12" s="1">
        <v>0.89</v>
      </c>
      <c r="H12" s="1">
        <v>0.28000000000000003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 t="str">
        <f t="shared" si="5"/>
        <v>DESCARTAR</v>
      </c>
      <c r="N12">
        <f t="shared" si="6"/>
        <v>1</v>
      </c>
      <c r="O12">
        <f t="shared" si="7"/>
        <v>1</v>
      </c>
      <c r="P12">
        <f t="shared" si="8"/>
        <v>1</v>
      </c>
      <c r="Q12">
        <f t="shared" si="9"/>
        <v>3</v>
      </c>
      <c r="R12" t="str">
        <f t="shared" si="10"/>
        <v>CUMPLE</v>
      </c>
      <c r="S12" t="str">
        <f t="shared" si="0"/>
        <v>DESCARTAR</v>
      </c>
    </row>
    <row r="13" spans="1:23" x14ac:dyDescent="0.3">
      <c r="A13" t="s">
        <v>10</v>
      </c>
      <c r="B13" t="s">
        <v>64</v>
      </c>
      <c r="C13" s="1">
        <v>0.57999999999999996</v>
      </c>
      <c r="D13" s="1">
        <v>0.62</v>
      </c>
      <c r="E13" s="1">
        <v>0.68</v>
      </c>
      <c r="F13" s="1">
        <v>0.47</v>
      </c>
      <c r="G13" s="1">
        <v>0.43</v>
      </c>
      <c r="H13" s="1">
        <v>0.6</v>
      </c>
      <c r="I13">
        <f t="shared" si="1"/>
        <v>1</v>
      </c>
      <c r="J13">
        <f t="shared" si="2"/>
        <v>1</v>
      </c>
      <c r="K13">
        <f t="shared" si="3"/>
        <v>1</v>
      </c>
      <c r="L13">
        <f t="shared" si="4"/>
        <v>3</v>
      </c>
      <c r="M13" t="str">
        <f t="shared" si="5"/>
        <v>CUMPLE</v>
      </c>
      <c r="N13">
        <f t="shared" si="6"/>
        <v>1</v>
      </c>
      <c r="O13">
        <f t="shared" si="7"/>
        <v>1</v>
      </c>
      <c r="P13">
        <f t="shared" si="8"/>
        <v>1</v>
      </c>
      <c r="Q13">
        <f t="shared" si="9"/>
        <v>3</v>
      </c>
      <c r="R13" t="str">
        <f t="shared" si="10"/>
        <v>CUMPLE</v>
      </c>
      <c r="S13" t="str">
        <f t="shared" si="0"/>
        <v>ELEGIDO VF</v>
      </c>
    </row>
    <row r="14" spans="1:23" ht="13.8" customHeight="1" x14ac:dyDescent="0.3">
      <c r="A14" t="s">
        <v>11</v>
      </c>
      <c r="B14" t="s">
        <v>36</v>
      </c>
      <c r="C14" s="1">
        <v>0.79</v>
      </c>
      <c r="D14" s="1">
        <v>0.37</v>
      </c>
      <c r="E14" s="1">
        <v>0.85</v>
      </c>
      <c r="F14" s="1">
        <v>0.37</v>
      </c>
      <c r="G14" s="1">
        <v>0.69</v>
      </c>
      <c r="H14" s="1">
        <v>0.14000000000000001</v>
      </c>
      <c r="I14">
        <f t="shared" si="1"/>
        <v>1</v>
      </c>
      <c r="J14">
        <f t="shared" si="2"/>
        <v>0</v>
      </c>
      <c r="K14">
        <f t="shared" si="3"/>
        <v>1</v>
      </c>
      <c r="L14">
        <f t="shared" si="4"/>
        <v>2</v>
      </c>
      <c r="M14" t="str">
        <f t="shared" si="5"/>
        <v>PRIORIDAD1</v>
      </c>
      <c r="N14">
        <f t="shared" si="6"/>
        <v>1</v>
      </c>
      <c r="O14">
        <f t="shared" si="7"/>
        <v>1</v>
      </c>
      <c r="P14">
        <f t="shared" si="8"/>
        <v>0</v>
      </c>
      <c r="Q14">
        <f t="shared" si="9"/>
        <v>2</v>
      </c>
      <c r="R14" t="str">
        <f t="shared" si="10"/>
        <v>PRIORIDAD1</v>
      </c>
      <c r="S14" t="str">
        <f t="shared" si="0"/>
        <v>DESCARTAR</v>
      </c>
    </row>
    <row r="15" spans="1:23" x14ac:dyDescent="0.3">
      <c r="A15" t="s">
        <v>12</v>
      </c>
      <c r="B15" t="s">
        <v>41</v>
      </c>
      <c r="C15" s="1">
        <v>0.78</v>
      </c>
      <c r="D15" s="1">
        <v>0.6</v>
      </c>
      <c r="E15" s="1">
        <v>0.85</v>
      </c>
      <c r="F15" s="1">
        <v>0.4</v>
      </c>
      <c r="G15" s="1">
        <v>0.66</v>
      </c>
      <c r="H15" s="1">
        <v>0.56000000000000005</v>
      </c>
      <c r="I15">
        <f t="shared" si="1"/>
        <v>1</v>
      </c>
      <c r="J15">
        <f t="shared" si="2"/>
        <v>0</v>
      </c>
      <c r="K15">
        <f t="shared" si="3"/>
        <v>1</v>
      </c>
      <c r="L15">
        <f t="shared" si="4"/>
        <v>2</v>
      </c>
      <c r="M15" t="str">
        <f t="shared" si="5"/>
        <v>PRIORIDAD1</v>
      </c>
      <c r="N15">
        <f t="shared" si="6"/>
        <v>1</v>
      </c>
      <c r="O15">
        <f t="shared" si="7"/>
        <v>1</v>
      </c>
      <c r="P15">
        <f t="shared" si="8"/>
        <v>1</v>
      </c>
      <c r="Q15">
        <f t="shared" si="9"/>
        <v>3</v>
      </c>
      <c r="R15" t="str">
        <f t="shared" si="10"/>
        <v>CUMPLE</v>
      </c>
      <c r="S15" t="str">
        <f t="shared" si="0"/>
        <v>LISTA  DE ESPERA 1</v>
      </c>
    </row>
    <row r="16" spans="1:23" x14ac:dyDescent="0.3">
      <c r="A16" t="s">
        <v>13</v>
      </c>
      <c r="B16" t="s">
        <v>65</v>
      </c>
      <c r="C16" s="1">
        <v>0.71</v>
      </c>
      <c r="D16" s="1">
        <v>0.67</v>
      </c>
      <c r="E16" s="1">
        <v>0.82</v>
      </c>
      <c r="F16" s="1">
        <v>0.51</v>
      </c>
      <c r="G16" s="1">
        <v>0.56999999999999995</v>
      </c>
      <c r="H16" s="1">
        <v>0.61</v>
      </c>
      <c r="I16">
        <f t="shared" si="1"/>
        <v>1</v>
      </c>
      <c r="J16">
        <f t="shared" si="2"/>
        <v>0</v>
      </c>
      <c r="K16">
        <f t="shared" si="3"/>
        <v>1</v>
      </c>
      <c r="L16">
        <f t="shared" si="4"/>
        <v>2</v>
      </c>
      <c r="M16" t="str">
        <f t="shared" si="5"/>
        <v>PRIORIDAD1</v>
      </c>
      <c r="N16">
        <f t="shared" si="6"/>
        <v>1</v>
      </c>
      <c r="O16">
        <f t="shared" si="7"/>
        <v>1</v>
      </c>
      <c r="P16">
        <f t="shared" si="8"/>
        <v>1</v>
      </c>
      <c r="Q16">
        <f t="shared" si="9"/>
        <v>3</v>
      </c>
      <c r="R16" t="str">
        <f t="shared" si="10"/>
        <v>CUMPLE</v>
      </c>
      <c r="S16" t="str">
        <f t="shared" si="0"/>
        <v>LISTA  DE ESPERA 1</v>
      </c>
    </row>
    <row r="17" spans="1:19" x14ac:dyDescent="0.3">
      <c r="A17" t="s">
        <v>14</v>
      </c>
      <c r="B17" t="s">
        <v>37</v>
      </c>
      <c r="C17" s="1">
        <v>0.87</v>
      </c>
      <c r="D17" s="1">
        <v>0.46</v>
      </c>
      <c r="E17" s="1">
        <v>0.91</v>
      </c>
      <c r="F17" s="1">
        <v>0.44</v>
      </c>
      <c r="G17" s="1">
        <v>0.84</v>
      </c>
      <c r="H17" s="1">
        <v>0.32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 t="str">
        <f t="shared" si="5"/>
        <v>DESCARTAR</v>
      </c>
      <c r="N17">
        <f t="shared" si="6"/>
        <v>1</v>
      </c>
      <c r="O17">
        <f t="shared" si="7"/>
        <v>1</v>
      </c>
      <c r="P17">
        <f t="shared" si="8"/>
        <v>1</v>
      </c>
      <c r="Q17">
        <f t="shared" si="9"/>
        <v>3</v>
      </c>
      <c r="R17" t="str">
        <f t="shared" si="10"/>
        <v>CUMPLE</v>
      </c>
      <c r="S17" t="str">
        <f t="shared" si="0"/>
        <v>DESCARTAR</v>
      </c>
    </row>
    <row r="18" spans="1:19" x14ac:dyDescent="0.3">
      <c r="A18" t="s">
        <v>15</v>
      </c>
      <c r="B18" t="s">
        <v>38</v>
      </c>
      <c r="C18" s="1">
        <v>0.44</v>
      </c>
      <c r="D18" s="1">
        <v>0.03</v>
      </c>
      <c r="E18" s="1">
        <v>0.41</v>
      </c>
      <c r="F18" s="1">
        <v>0.08</v>
      </c>
      <c r="G18" s="1">
        <v>0.49</v>
      </c>
      <c r="H18" s="1">
        <v>0.24</v>
      </c>
      <c r="I18">
        <f t="shared" si="1"/>
        <v>1</v>
      </c>
      <c r="J18">
        <f t="shared" si="2"/>
        <v>1</v>
      </c>
      <c r="K18">
        <f t="shared" si="3"/>
        <v>1</v>
      </c>
      <c r="L18">
        <f t="shared" si="4"/>
        <v>3</v>
      </c>
      <c r="M18" t="str">
        <f t="shared" si="5"/>
        <v>CUMPLE</v>
      </c>
      <c r="N18">
        <f t="shared" si="6"/>
        <v>0</v>
      </c>
      <c r="O18">
        <f t="shared" si="7"/>
        <v>0</v>
      </c>
      <c r="P18">
        <f t="shared" si="8"/>
        <v>1</v>
      </c>
      <c r="Q18">
        <f t="shared" si="9"/>
        <v>1</v>
      </c>
      <c r="R18" t="str">
        <f t="shared" si="10"/>
        <v>DESCARTAR</v>
      </c>
      <c r="S18" t="str">
        <f t="shared" si="0"/>
        <v>DESCARTAR</v>
      </c>
    </row>
    <row r="19" spans="1:19" x14ac:dyDescent="0.3">
      <c r="A19" t="s">
        <v>16</v>
      </c>
      <c r="B19" t="s">
        <v>39</v>
      </c>
      <c r="C19" s="1">
        <v>0.4</v>
      </c>
      <c r="D19" s="1">
        <v>-0.05</v>
      </c>
      <c r="E19" s="1">
        <v>0.35</v>
      </c>
      <c r="F19" s="1">
        <v>0.03</v>
      </c>
      <c r="G19" s="1">
        <v>0.45</v>
      </c>
      <c r="H19" s="1">
        <v>0.11</v>
      </c>
      <c r="I19">
        <f t="shared" si="1"/>
        <v>1</v>
      </c>
      <c r="J19">
        <f t="shared" si="2"/>
        <v>1</v>
      </c>
      <c r="K19">
        <f t="shared" si="3"/>
        <v>1</v>
      </c>
      <c r="L19">
        <f t="shared" si="4"/>
        <v>3</v>
      </c>
      <c r="M19" t="str">
        <f t="shared" si="5"/>
        <v>CUMPLE</v>
      </c>
      <c r="N19">
        <f t="shared" si="6"/>
        <v>0</v>
      </c>
      <c r="O19">
        <f t="shared" si="7"/>
        <v>0</v>
      </c>
      <c r="P19">
        <f t="shared" si="8"/>
        <v>0</v>
      </c>
      <c r="Q19">
        <f t="shared" si="9"/>
        <v>0</v>
      </c>
      <c r="R19" t="str">
        <f t="shared" si="10"/>
        <v>DESCARTAR</v>
      </c>
      <c r="S19" t="str">
        <f t="shared" si="0"/>
        <v>DESCARTAR</v>
      </c>
    </row>
    <row r="20" spans="1:19" x14ac:dyDescent="0.3">
      <c r="A20" t="s">
        <v>17</v>
      </c>
      <c r="B20" t="s">
        <v>51</v>
      </c>
      <c r="C20" s="1">
        <v>0.46</v>
      </c>
      <c r="D20" s="1">
        <v>-0.28000000000000003</v>
      </c>
      <c r="E20" s="1">
        <v>0.43</v>
      </c>
      <c r="F20" s="1">
        <v>-0.34</v>
      </c>
      <c r="G20" s="1">
        <v>0.45</v>
      </c>
      <c r="H20" s="1">
        <v>-0.35</v>
      </c>
      <c r="I20">
        <f t="shared" si="1"/>
        <v>1</v>
      </c>
      <c r="J20">
        <f t="shared" si="2"/>
        <v>1</v>
      </c>
      <c r="K20">
        <f t="shared" si="3"/>
        <v>1</v>
      </c>
      <c r="L20">
        <f t="shared" si="4"/>
        <v>3</v>
      </c>
      <c r="M20" t="str">
        <f t="shared" si="5"/>
        <v>CUMPLE</v>
      </c>
      <c r="N20">
        <f t="shared" si="6"/>
        <v>0</v>
      </c>
      <c r="O20">
        <f t="shared" si="7"/>
        <v>0</v>
      </c>
      <c r="P20">
        <f t="shared" si="8"/>
        <v>0</v>
      </c>
      <c r="Q20">
        <f t="shared" si="9"/>
        <v>0</v>
      </c>
      <c r="R20" t="str">
        <f t="shared" si="10"/>
        <v>DESCARTAR</v>
      </c>
      <c r="S20" t="str">
        <f t="shared" si="0"/>
        <v>DESCARTAR</v>
      </c>
    </row>
    <row r="21" spans="1:19" x14ac:dyDescent="0.3">
      <c r="A21" t="s">
        <v>18</v>
      </c>
      <c r="B21" t="s">
        <v>42</v>
      </c>
      <c r="C21" s="1">
        <v>0.56999999999999995</v>
      </c>
      <c r="D21" s="1">
        <v>0.19</v>
      </c>
      <c r="E21" s="1">
        <v>0.55000000000000004</v>
      </c>
      <c r="F21" s="1">
        <v>0.17</v>
      </c>
      <c r="G21" s="1">
        <v>0.56000000000000005</v>
      </c>
      <c r="H21" s="1">
        <v>0.28999999999999998</v>
      </c>
      <c r="I21">
        <f t="shared" si="1"/>
        <v>1</v>
      </c>
      <c r="J21">
        <f t="shared" si="2"/>
        <v>1</v>
      </c>
      <c r="K21">
        <f t="shared" si="3"/>
        <v>1</v>
      </c>
      <c r="L21">
        <f t="shared" si="4"/>
        <v>3</v>
      </c>
      <c r="M21" t="str">
        <f t="shared" si="5"/>
        <v>CUMPLE</v>
      </c>
      <c r="N21">
        <f t="shared" si="6"/>
        <v>0</v>
      </c>
      <c r="O21">
        <f t="shared" si="7"/>
        <v>0</v>
      </c>
      <c r="P21">
        <f t="shared" si="8"/>
        <v>1</v>
      </c>
      <c r="Q21">
        <f t="shared" si="9"/>
        <v>1</v>
      </c>
      <c r="R21" t="str">
        <f t="shared" si="10"/>
        <v>DESCARTAR</v>
      </c>
      <c r="S21" t="str">
        <f t="shared" si="0"/>
        <v>DESCARTAR</v>
      </c>
    </row>
    <row r="22" spans="1:19" x14ac:dyDescent="0.3">
      <c r="A22" t="s">
        <v>19</v>
      </c>
      <c r="B22" t="s">
        <v>43</v>
      </c>
      <c r="C22" s="1">
        <v>0.76</v>
      </c>
      <c r="D22" s="1">
        <v>0.24</v>
      </c>
      <c r="E22" s="1">
        <v>0.77</v>
      </c>
      <c r="F22" s="1">
        <v>0.38</v>
      </c>
      <c r="G22" s="1">
        <v>0.75</v>
      </c>
      <c r="H22" s="1">
        <v>-7.0000000000000007E-2</v>
      </c>
      <c r="I22">
        <f t="shared" si="1"/>
        <v>1</v>
      </c>
      <c r="J22">
        <f t="shared" si="2"/>
        <v>1</v>
      </c>
      <c r="K22">
        <f t="shared" si="3"/>
        <v>1</v>
      </c>
      <c r="L22">
        <f t="shared" si="4"/>
        <v>3</v>
      </c>
      <c r="M22" t="str">
        <f t="shared" si="5"/>
        <v>CUMPLE</v>
      </c>
      <c r="N22">
        <f t="shared" si="6"/>
        <v>1</v>
      </c>
      <c r="O22">
        <f t="shared" si="7"/>
        <v>1</v>
      </c>
      <c r="P22">
        <f t="shared" si="8"/>
        <v>0</v>
      </c>
      <c r="Q22">
        <f t="shared" si="9"/>
        <v>2</v>
      </c>
      <c r="R22" t="str">
        <f t="shared" si="10"/>
        <v>PRIORIDAD1</v>
      </c>
      <c r="S22" t="str">
        <f t="shared" si="0"/>
        <v>LISTA DE ESPERA 2</v>
      </c>
    </row>
    <row r="23" spans="1:19" x14ac:dyDescent="0.3">
      <c r="A23" t="s">
        <v>20</v>
      </c>
      <c r="B23" t="s">
        <v>44</v>
      </c>
      <c r="C23" s="1">
        <v>0.62</v>
      </c>
      <c r="D23" s="1">
        <v>-0.06</v>
      </c>
      <c r="E23" s="1">
        <v>0.78</v>
      </c>
      <c r="F23" s="1">
        <v>-0.1</v>
      </c>
      <c r="G23" s="1">
        <v>0.57999999999999996</v>
      </c>
      <c r="H23" s="1">
        <v>-0.2</v>
      </c>
      <c r="I23">
        <f t="shared" si="1"/>
        <v>1</v>
      </c>
      <c r="J23">
        <f t="shared" si="2"/>
        <v>1</v>
      </c>
      <c r="K23">
        <f t="shared" si="3"/>
        <v>1</v>
      </c>
      <c r="L23">
        <f t="shared" si="4"/>
        <v>3</v>
      </c>
      <c r="M23" t="str">
        <f t="shared" si="5"/>
        <v>CUMPLE</v>
      </c>
      <c r="N23">
        <f t="shared" si="6"/>
        <v>0</v>
      </c>
      <c r="O23">
        <f t="shared" si="7"/>
        <v>0</v>
      </c>
      <c r="P23">
        <f t="shared" si="8"/>
        <v>0</v>
      </c>
      <c r="Q23">
        <f t="shared" si="9"/>
        <v>0</v>
      </c>
      <c r="R23" t="str">
        <f t="shared" si="10"/>
        <v>DESCARTAR</v>
      </c>
      <c r="S23" t="str">
        <f t="shared" si="0"/>
        <v>DESCARTAR</v>
      </c>
    </row>
    <row r="24" spans="1:19" x14ac:dyDescent="0.3">
      <c r="A24" t="s">
        <v>21</v>
      </c>
      <c r="B24" t="s">
        <v>45</v>
      </c>
      <c r="C24" s="1">
        <v>0.62</v>
      </c>
      <c r="D24" s="1">
        <v>0.19</v>
      </c>
      <c r="E24" s="1">
        <v>0.67</v>
      </c>
      <c r="F24" s="1">
        <v>0.03</v>
      </c>
      <c r="G24" s="1">
        <v>0.55000000000000004</v>
      </c>
      <c r="H24" s="1">
        <v>0.23</v>
      </c>
      <c r="I24">
        <f t="shared" si="1"/>
        <v>1</v>
      </c>
      <c r="J24">
        <f t="shared" si="2"/>
        <v>1</v>
      </c>
      <c r="K24">
        <f t="shared" si="3"/>
        <v>1</v>
      </c>
      <c r="L24">
        <f t="shared" si="4"/>
        <v>3</v>
      </c>
      <c r="M24" t="str">
        <f t="shared" si="5"/>
        <v>CUMPLE</v>
      </c>
      <c r="N24">
        <f t="shared" si="6"/>
        <v>0</v>
      </c>
      <c r="O24">
        <f t="shared" si="7"/>
        <v>0</v>
      </c>
      <c r="P24">
        <f t="shared" si="8"/>
        <v>1</v>
      </c>
      <c r="Q24">
        <f t="shared" si="9"/>
        <v>1</v>
      </c>
      <c r="R24" t="str">
        <f t="shared" si="10"/>
        <v>DESCARTAR</v>
      </c>
      <c r="S24" t="str">
        <f t="shared" si="0"/>
        <v>DESCARTAR</v>
      </c>
    </row>
    <row r="25" spans="1:19" x14ac:dyDescent="0.3">
      <c r="A25" t="s">
        <v>22</v>
      </c>
      <c r="B25" t="s">
        <v>46</v>
      </c>
      <c r="C25" s="1">
        <v>0.63</v>
      </c>
      <c r="D25" s="1">
        <v>0.2</v>
      </c>
      <c r="E25" s="1">
        <v>0.64</v>
      </c>
      <c r="F25" s="1">
        <v>0.23</v>
      </c>
      <c r="G25" s="1">
        <v>0.61</v>
      </c>
      <c r="H25" s="1">
        <v>0.08</v>
      </c>
      <c r="I25">
        <f t="shared" si="1"/>
        <v>1</v>
      </c>
      <c r="J25">
        <f t="shared" si="2"/>
        <v>1</v>
      </c>
      <c r="K25">
        <f t="shared" si="3"/>
        <v>1</v>
      </c>
      <c r="L25">
        <f t="shared" si="4"/>
        <v>3</v>
      </c>
      <c r="M25" t="str">
        <f t="shared" si="5"/>
        <v>CUMPLE</v>
      </c>
      <c r="N25">
        <f t="shared" si="6"/>
        <v>0</v>
      </c>
      <c r="O25">
        <f t="shared" si="7"/>
        <v>1</v>
      </c>
      <c r="P25">
        <f t="shared" si="8"/>
        <v>0</v>
      </c>
      <c r="Q25">
        <f t="shared" si="9"/>
        <v>1</v>
      </c>
      <c r="R25" t="str">
        <f t="shared" si="10"/>
        <v>DESCARTAR</v>
      </c>
      <c r="S25" t="str">
        <f t="shared" si="0"/>
        <v>DESCARTAR</v>
      </c>
    </row>
    <row r="26" spans="1:19" x14ac:dyDescent="0.3">
      <c r="A26" t="s">
        <v>23</v>
      </c>
      <c r="B26" t="s">
        <v>47</v>
      </c>
      <c r="C26" s="1">
        <v>0.63</v>
      </c>
      <c r="D26" s="1">
        <v>0.18</v>
      </c>
      <c r="E26" s="1">
        <v>0.8</v>
      </c>
      <c r="F26" s="1">
        <v>0.12</v>
      </c>
      <c r="G26" s="1">
        <v>0.56999999999999995</v>
      </c>
      <c r="H26" s="1">
        <v>0.08</v>
      </c>
      <c r="I26">
        <f t="shared" si="1"/>
        <v>1</v>
      </c>
      <c r="J26">
        <f t="shared" si="2"/>
        <v>0</v>
      </c>
      <c r="K26">
        <f t="shared" si="3"/>
        <v>1</v>
      </c>
      <c r="L26">
        <f t="shared" si="4"/>
        <v>2</v>
      </c>
      <c r="M26" t="str">
        <f t="shared" si="5"/>
        <v>PRIORIDAD1</v>
      </c>
      <c r="N26">
        <f t="shared" si="6"/>
        <v>0</v>
      </c>
      <c r="O26">
        <f t="shared" si="7"/>
        <v>0</v>
      </c>
      <c r="P26">
        <f t="shared" si="8"/>
        <v>0</v>
      </c>
      <c r="Q26">
        <f t="shared" si="9"/>
        <v>0</v>
      </c>
      <c r="R26" t="str">
        <f t="shared" si="10"/>
        <v>DESCARTAR</v>
      </c>
      <c r="S26" t="str">
        <f t="shared" si="0"/>
        <v>DESCARTAR</v>
      </c>
    </row>
  </sheetData>
  <autoFilter ref="A2:Y26" xr:uid="{B855380D-3069-4F9F-8958-26334D1B647E}"/>
  <mergeCells count="5">
    <mergeCell ref="C1:D1"/>
    <mergeCell ref="E1:F1"/>
    <mergeCell ref="G1:H1"/>
    <mergeCell ref="I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 RAMÍREZ CORTÁZAR</dc:creator>
  <cp:lastModifiedBy>FELIPE  RAMÍREZ CORTÁZAR</cp:lastModifiedBy>
  <dcterms:created xsi:type="dcterms:W3CDTF">2024-04-24T00:12:01Z</dcterms:created>
  <dcterms:modified xsi:type="dcterms:W3CDTF">2026-03-05T23:29:46Z</dcterms:modified>
</cp:coreProperties>
</file>